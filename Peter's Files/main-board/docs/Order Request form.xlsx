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pe328_bath_ac_uk/Documents/Mission Pegasus/"/>
    </mc:Choice>
  </mc:AlternateContent>
  <xr:revisionPtr revIDLastSave="48" documentId="8_{A703BF08-CBAA-4FD4-8E28-C22405CECF1D}" xr6:coauthVersionLast="47" xr6:coauthVersionMax="47" xr10:uidLastSave="{63824134-B831-471A-80C3-49BE217C6CE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I32" i="1"/>
  <c r="I31" i="1"/>
  <c r="I30" i="1"/>
  <c r="I29" i="1" l="1"/>
  <c r="I28" i="1"/>
  <c r="I27" i="1"/>
  <c r="I26" i="1"/>
  <c r="I25" i="1"/>
  <c r="I24" i="1" l="1"/>
  <c r="I35" i="1" s="1"/>
  <c r="I36" i="1" l="1"/>
  <c r="I37" i="1" l="1"/>
</calcChain>
</file>

<file path=xl/sharedStrings.xml><?xml version="1.0" encoding="utf-8"?>
<sst xmlns="http://schemas.openxmlformats.org/spreadsheetml/2006/main" count="78" uniqueCount="67">
  <si>
    <t xml:space="preserve">ORDER REQUEST FORM </t>
  </si>
  <si>
    <t xml:space="preserve">To: </t>
  </si>
  <si>
    <t>Finance</t>
  </si>
  <si>
    <t xml:space="preserve">From: </t>
  </si>
  <si>
    <t>Department:</t>
  </si>
  <si>
    <t xml:space="preserve">Supplier Address: </t>
  </si>
  <si>
    <t xml:space="preserve">Telephone: </t>
  </si>
  <si>
    <t xml:space="preserve">Project Code: </t>
  </si>
  <si>
    <t>Quantity</t>
  </si>
  <si>
    <t xml:space="preserve">Catalogue Number </t>
  </si>
  <si>
    <t>Description of Goods</t>
  </si>
  <si>
    <t>Total Price</t>
  </si>
  <si>
    <t>Unit Price</t>
  </si>
  <si>
    <t>Delivery:</t>
  </si>
  <si>
    <t>Subtotal:</t>
  </si>
  <si>
    <t>Total:</t>
  </si>
  <si>
    <t>Email:</t>
  </si>
  <si>
    <t>Lab Equipment</t>
  </si>
  <si>
    <t>Lab consumables</t>
  </si>
  <si>
    <t>IT</t>
  </si>
  <si>
    <t>Other</t>
  </si>
  <si>
    <t>Type of Purchase</t>
  </si>
  <si>
    <t>Supplier Name:</t>
  </si>
  <si>
    <t>Quote number:</t>
  </si>
  <si>
    <t>£25,000+</t>
  </si>
  <si>
    <t>Additional Forms - Have you attached?</t>
  </si>
  <si>
    <t>20% VAT:</t>
  </si>
  <si>
    <t>Please indicate</t>
  </si>
  <si>
    <t xml:space="preserve">PO Number </t>
  </si>
  <si>
    <t>Requisition Number</t>
  </si>
  <si>
    <r>
      <t xml:space="preserve">PLEASE SEND COMPLETED FORM TO </t>
    </r>
    <r>
      <rPr>
        <b/>
        <sz val="14"/>
        <color rgb="FFFF0000"/>
        <rFont val="Calibri"/>
        <family val="2"/>
        <scheme val="minor"/>
      </rPr>
      <t>fac-eng-finance@bath.ac.uk</t>
    </r>
  </si>
  <si>
    <t>BID Evaluation Document (BED) https://www.bath.ac.uk/publications/bid-evaluation-document/ or Single Action Waiver (SAW) https://www.bath.ac.uk/publications/single-action-waiver/</t>
  </si>
  <si>
    <t xml:space="preserve">Contact Procurement https://www.bath.ac.uk/teams/procurement-team/ </t>
  </si>
  <si>
    <t>£2000-£9999</t>
  </si>
  <si>
    <t>£10,000- £24,999</t>
  </si>
  <si>
    <t>3 Competative quotes or 1 quote and justification for only seeking one</t>
  </si>
  <si>
    <t>TC2030-IDC-NL</t>
  </si>
  <si>
    <t>Debugging Connector</t>
  </si>
  <si>
    <t>985-AS72651-BLGM</t>
  </si>
  <si>
    <t>Sensor</t>
  </si>
  <si>
    <t>Supplier</t>
  </si>
  <si>
    <t>Link</t>
  </si>
  <si>
    <t>Tag-Connect</t>
  </si>
  <si>
    <t>https://www.tag-connect.com/product/tc2030-idc-nl</t>
  </si>
  <si>
    <t>Mouser</t>
  </si>
  <si>
    <t>https://www.mouser.co.uk/ProductDetail/ams-OSRAM/AS72651-BLGM?qs=byeeYqUIh0PtfXPN2yhDCA%3D%3D</t>
  </si>
  <si>
    <t>985-AS72652-BLGM</t>
  </si>
  <si>
    <t>https://www.mouser.co.uk/ProductDetail/ams-OSRAM/AS72652-BLGM?qs=byeeYqUIh0MwQKd6yzDQEA%3D%3D</t>
  </si>
  <si>
    <t>985-AS72653-BLGM</t>
  </si>
  <si>
    <t>https://www.mouser.co.uk/ProductDetail/ams-OSRAM/AS72653-BLGM?qs=byeeYqUIh0N5Q0CaJCwXCA%3D%3D</t>
  </si>
  <si>
    <t>581-0603YC104K4T4A</t>
  </si>
  <si>
    <t>0.1 uF Capacitor</t>
  </si>
  <si>
    <t>https://www.mouser.co.uk/ProductDetail/KYOCERA-AVX/0603YC104K4T4A?qs=Cej1j9ztgjEkPqVJkA4Bng%3D%3D</t>
  </si>
  <si>
    <t>581-06033D105KAT4A</t>
  </si>
  <si>
    <t>1 uF Capacitor</t>
  </si>
  <si>
    <t>https://www.mouser.co.uk/ProductDetail/KYOCERA-AVX/06033D105KAT4A?qs=sGAEpiMZZMsh%252B1woXyUXj7%2F0MC3w%252B5zFD2JUZK43V2s%3D</t>
  </si>
  <si>
    <t>https://www.mouser.co.uk/ProductDetail/Wurth-Elektronik/7427927161?qs=%252B97ACBfLqz8R%252B1ZKS2FUPA%3D%3D</t>
  </si>
  <si>
    <t>710-7427927161</t>
  </si>
  <si>
    <t>Ferrite beads</t>
  </si>
  <si>
    <t>755-DTC113ZEBTL</t>
  </si>
  <si>
    <t>Transistor</t>
  </si>
  <si>
    <t>https://www.mouser.co.uk/ProductDetail/ROHM-Semiconductor/DTC113ZEBTL?qs=qSfuJ%252Bfl%2Fd4AkBOHinnQ0A%3D%3D</t>
  </si>
  <si>
    <t>71-CRCW0603-2.2K-E3</t>
  </si>
  <si>
    <t>Resistor</t>
  </si>
  <si>
    <t>https://www.mouser.co.uk/ProductDetail/Vishay/CRCW06032K20FKEA?qs=wckIcdUuIXiMEbhHncbunA%3D%3D</t>
  </si>
  <si>
    <t>71-CRCW060310K0FKEI</t>
  </si>
  <si>
    <t>https://www.mouser.co.uk/ProductDetail/Vishay/CRCW060310K0FKEI?qs=3qWEzBg5KnKofE%252B8acPBRA%3D%3D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</si>
</sst>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9" fontId="0" fillId="0" borderId="0" xfId="1" applyFont="1"/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8" xfId="0" applyBorder="1" applyProtection="1">
      <protection locked="0"/>
    </xf>
    <xf numFmtId="0" fontId="2" fillId="0" borderId="0" xfId="0" applyFont="1" applyProtection="1">
      <protection locked="0"/>
    </xf>
    <xf numFmtId="0" fontId="0" fillId="0" borderId="1" xfId="0" applyBorder="1" applyAlignment="1" applyProtection="1">
      <alignment wrapText="1"/>
      <protection locked="0"/>
    </xf>
    <xf numFmtId="9" fontId="0" fillId="0" borderId="0" xfId="0" applyNumberFormat="1" applyProtection="1">
      <protection locked="0"/>
    </xf>
    <xf numFmtId="0" fontId="0" fillId="0" borderId="1" xfId="0" applyBorder="1"/>
    <xf numFmtId="0" fontId="0" fillId="0" borderId="11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0" fillId="0" borderId="3" xfId="0" applyBorder="1"/>
    <xf numFmtId="0" fontId="0" fillId="0" borderId="8" xfId="0" applyBorder="1"/>
    <xf numFmtId="2" fontId="0" fillId="0" borderId="8" xfId="0" applyNumberFormat="1" applyBorder="1"/>
    <xf numFmtId="0" fontId="0" fillId="0" borderId="7" xfId="0" applyBorder="1"/>
    <xf numFmtId="2" fontId="0" fillId="0" borderId="9" xfId="0" applyNumberFormat="1" applyBorder="1"/>
    <xf numFmtId="2" fontId="0" fillId="0" borderId="1" xfId="0" applyNumberFormat="1" applyBorder="1"/>
    <xf numFmtId="0" fontId="0" fillId="0" borderId="2" xfId="0" applyBorder="1" applyProtection="1">
      <protection locked="0"/>
    </xf>
    <xf numFmtId="0" fontId="0" fillId="0" borderId="10" xfId="0" applyBorder="1"/>
    <xf numFmtId="0" fontId="0" fillId="0" borderId="3" xfId="0" applyBorder="1"/>
    <xf numFmtId="0" fontId="0" fillId="2" borderId="2" xfId="0" applyFill="1" applyBorder="1" applyProtection="1">
      <protection locked="0"/>
    </xf>
    <xf numFmtId="0" fontId="0" fillId="2" borderId="2" xfId="0" applyFill="1" applyBorder="1" applyAlignment="1" applyProtection="1">
      <alignment horizontal="left" vertical="top" wrapText="1"/>
      <protection locked="0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2" borderId="1" xfId="0" applyFill="1" applyBorder="1" applyProtection="1">
      <protection locked="0"/>
    </xf>
    <xf numFmtId="0" fontId="0" fillId="0" borderId="1" xfId="0" applyBorder="1"/>
    <xf numFmtId="0" fontId="0" fillId="0" borderId="1" xfId="0" applyBorder="1" applyProtection="1"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Protection="1">
      <protection locked="0"/>
    </xf>
    <xf numFmtId="0" fontId="0" fillId="0" borderId="3" xfId="0" applyBorder="1" applyProtection="1">
      <protection locked="0"/>
    </xf>
    <xf numFmtId="8" fontId="0" fillId="0" borderId="1" xfId="0" applyNumberFormat="1" applyBorder="1" applyProtection="1">
      <protection locked="0"/>
    </xf>
    <xf numFmtId="0" fontId="6" fillId="0" borderId="0" xfId="0" applyFont="1"/>
    <xf numFmtId="0" fontId="0" fillId="0" borderId="1" xfId="0" applyFill="1" applyBorder="1" applyAlignment="1" applyProtection="1">
      <alignment wrapText="1"/>
      <protection locked="0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8"/>
  <sheetViews>
    <sheetView tabSelected="1" topLeftCell="A23" zoomScale="115" zoomScaleNormal="115" workbookViewId="0">
      <selection activeCell="H35" sqref="H35"/>
    </sheetView>
  </sheetViews>
  <sheetFormatPr defaultColWidth="8.77734375" defaultRowHeight="14.4" x14ac:dyDescent="0.3"/>
  <cols>
    <col min="1" max="1" width="14" customWidth="1"/>
    <col min="3" max="3" width="22.88671875" customWidth="1"/>
    <col min="5" max="5" width="7.6640625" customWidth="1"/>
    <col min="8" max="8" width="9.44140625" customWidth="1"/>
    <col min="10" max="10" width="11.33203125" bestFit="1" customWidth="1"/>
    <col min="11" max="11" width="45.6640625" bestFit="1" customWidth="1"/>
  </cols>
  <sheetData>
    <row r="2" spans="1:9" ht="15" thickBot="1" x14ac:dyDescent="0.35">
      <c r="A2" s="34" t="s">
        <v>0</v>
      </c>
      <c r="B2" s="35"/>
      <c r="C2" s="35"/>
      <c r="D2" s="35"/>
      <c r="E2" s="35"/>
      <c r="F2" s="35"/>
      <c r="G2" s="35"/>
      <c r="H2" s="35"/>
      <c r="I2" s="36"/>
    </row>
    <row r="3" spans="1:9" ht="15" thickTop="1" x14ac:dyDescent="0.3">
      <c r="A3" s="15"/>
      <c r="B3" s="16"/>
      <c r="C3" s="16"/>
      <c r="D3" s="16"/>
      <c r="E3" s="16"/>
      <c r="F3" s="16"/>
      <c r="G3" s="16"/>
      <c r="H3" s="16"/>
      <c r="I3" s="17"/>
    </row>
    <row r="4" spans="1:9" x14ac:dyDescent="0.3">
      <c r="A4" s="15"/>
      <c r="B4" s="16"/>
      <c r="C4" s="16"/>
      <c r="D4" s="16"/>
      <c r="E4" s="16"/>
      <c r="F4" s="16"/>
      <c r="G4" s="16"/>
      <c r="H4" s="16"/>
      <c r="I4" s="17"/>
    </row>
    <row r="5" spans="1:9" x14ac:dyDescent="0.3">
      <c r="A5" s="4" t="s">
        <v>1</v>
      </c>
      <c r="B5" s="4" t="s">
        <v>2</v>
      </c>
      <c r="C5" s="3"/>
      <c r="D5" s="3"/>
      <c r="E5" s="3"/>
      <c r="F5" s="33" t="s">
        <v>29</v>
      </c>
      <c r="G5" s="32"/>
      <c r="H5" s="4"/>
      <c r="I5" s="9"/>
    </row>
    <row r="6" spans="1:9" x14ac:dyDescent="0.3">
      <c r="A6" s="4" t="s">
        <v>3</v>
      </c>
      <c r="B6" s="31"/>
      <c r="C6" s="33"/>
      <c r="D6" s="3"/>
      <c r="E6" s="3"/>
      <c r="F6" s="33" t="s">
        <v>28</v>
      </c>
      <c r="G6" s="32"/>
      <c r="H6" s="33"/>
      <c r="I6" s="32"/>
    </row>
    <row r="7" spans="1:9" x14ac:dyDescent="0.3">
      <c r="A7" s="2"/>
      <c r="B7" s="3"/>
      <c r="C7" s="3"/>
      <c r="D7" s="3"/>
      <c r="E7" s="3"/>
      <c r="F7" s="3"/>
      <c r="G7" s="3"/>
      <c r="H7" s="3"/>
      <c r="I7" s="5"/>
    </row>
    <row r="8" spans="1:9" x14ac:dyDescent="0.3">
      <c r="A8" s="13" t="s">
        <v>4</v>
      </c>
      <c r="B8" s="27"/>
      <c r="C8" s="26"/>
      <c r="D8" s="3"/>
      <c r="F8" s="3"/>
      <c r="G8" s="3"/>
      <c r="H8" s="3"/>
      <c r="I8" s="5"/>
    </row>
    <row r="9" spans="1:9" x14ac:dyDescent="0.3">
      <c r="A9" s="2"/>
      <c r="I9" s="19"/>
    </row>
    <row r="10" spans="1:9" x14ac:dyDescent="0.3">
      <c r="A10" s="4" t="s">
        <v>22</v>
      </c>
      <c r="B10" s="27"/>
      <c r="C10" s="26"/>
      <c r="D10" s="3"/>
      <c r="E10" s="13" t="s">
        <v>7</v>
      </c>
      <c r="F10" s="14"/>
      <c r="G10" s="27"/>
      <c r="H10" s="25"/>
      <c r="I10" s="26"/>
    </row>
    <row r="11" spans="1:9" x14ac:dyDescent="0.3">
      <c r="A11" s="2"/>
      <c r="B11" s="3"/>
      <c r="C11" s="3"/>
      <c r="D11" s="3"/>
      <c r="E11" s="3"/>
      <c r="F11" s="3"/>
      <c r="G11" s="3"/>
      <c r="H11" s="3"/>
      <c r="I11" s="5"/>
    </row>
    <row r="12" spans="1:9" ht="15" customHeight="1" x14ac:dyDescent="0.3">
      <c r="A12" s="10" t="s">
        <v>5</v>
      </c>
      <c r="B12" s="28"/>
      <c r="C12" s="29"/>
      <c r="D12" s="30"/>
      <c r="E12" s="3"/>
      <c r="F12" s="13" t="s">
        <v>21</v>
      </c>
      <c r="G12" s="14"/>
      <c r="H12" s="4" t="s">
        <v>27</v>
      </c>
      <c r="I12" s="9"/>
    </row>
    <row r="13" spans="1:9" x14ac:dyDescent="0.3">
      <c r="A13" s="11"/>
      <c r="B13" s="28"/>
      <c r="C13" s="29"/>
      <c r="D13" s="30"/>
      <c r="E13" s="3"/>
      <c r="F13" s="13" t="s">
        <v>17</v>
      </c>
      <c r="G13" s="14"/>
      <c r="H13" s="27"/>
      <c r="I13" s="26"/>
    </row>
    <row r="14" spans="1:9" x14ac:dyDescent="0.3">
      <c r="A14" s="12"/>
      <c r="B14" s="28"/>
      <c r="C14" s="29"/>
      <c r="D14" s="30"/>
      <c r="E14" s="3"/>
      <c r="F14" s="4" t="s">
        <v>18</v>
      </c>
      <c r="G14" s="4"/>
      <c r="H14" s="27"/>
      <c r="I14" s="26"/>
    </row>
    <row r="15" spans="1:9" x14ac:dyDescent="0.3">
      <c r="A15" s="4" t="s">
        <v>6</v>
      </c>
      <c r="B15" s="27"/>
      <c r="C15" s="25"/>
      <c r="D15" s="26"/>
      <c r="E15" s="3"/>
      <c r="F15" s="13" t="s">
        <v>19</v>
      </c>
      <c r="G15" s="18"/>
      <c r="H15" s="27"/>
      <c r="I15" s="26"/>
    </row>
    <row r="16" spans="1:9" x14ac:dyDescent="0.3">
      <c r="A16" s="4" t="s">
        <v>16</v>
      </c>
      <c r="B16" s="31"/>
      <c r="C16" s="31"/>
      <c r="D16" s="31"/>
      <c r="E16" s="3"/>
      <c r="F16" s="24" t="s">
        <v>20</v>
      </c>
      <c r="G16" s="26"/>
      <c r="H16" s="31"/>
      <c r="I16" s="32"/>
    </row>
    <row r="17" spans="1:11" x14ac:dyDescent="0.3">
      <c r="A17" s="4" t="s">
        <v>23</v>
      </c>
      <c r="B17" s="27"/>
      <c r="C17" s="44"/>
      <c r="D17" s="45"/>
      <c r="E17" s="3"/>
      <c r="F17" s="3"/>
      <c r="G17" s="3"/>
      <c r="H17" s="6"/>
      <c r="I17" s="5"/>
    </row>
    <row r="18" spans="1:11" x14ac:dyDescent="0.3">
      <c r="A18" s="21"/>
      <c r="I18" s="19"/>
    </row>
    <row r="19" spans="1:11" x14ac:dyDescent="0.3">
      <c r="A19" s="21"/>
      <c r="I19" s="19"/>
    </row>
    <row r="20" spans="1:11" x14ac:dyDescent="0.3">
      <c r="A20" s="2"/>
      <c r="B20" s="3"/>
      <c r="C20" s="3"/>
      <c r="D20" s="3"/>
      <c r="E20" s="3"/>
      <c r="F20" s="3"/>
      <c r="G20" s="3"/>
      <c r="H20" s="3"/>
      <c r="I20" s="5"/>
    </row>
    <row r="21" spans="1:11" ht="18" x14ac:dyDescent="0.35">
      <c r="A21" s="41" t="s">
        <v>30</v>
      </c>
      <c r="B21" s="42"/>
      <c r="C21" s="42"/>
      <c r="D21" s="42"/>
      <c r="E21" s="42"/>
      <c r="F21" s="42"/>
      <c r="G21" s="42"/>
      <c r="H21" s="42"/>
      <c r="I21" s="43"/>
    </row>
    <row r="22" spans="1:11" x14ac:dyDescent="0.3">
      <c r="A22" s="2"/>
      <c r="B22" s="3"/>
      <c r="C22" s="3"/>
      <c r="D22" s="3"/>
      <c r="E22" s="3"/>
      <c r="F22" s="3"/>
      <c r="G22" s="3"/>
      <c r="H22" s="3"/>
      <c r="I22" s="5"/>
    </row>
    <row r="23" spans="1:11" ht="27.75" customHeight="1" x14ac:dyDescent="0.3">
      <c r="A23" s="4"/>
      <c r="B23" s="4" t="s">
        <v>8</v>
      </c>
      <c r="C23" s="7" t="s">
        <v>9</v>
      </c>
      <c r="D23" s="33" t="s">
        <v>10</v>
      </c>
      <c r="E23" s="33"/>
      <c r="F23" s="33"/>
      <c r="G23" s="33"/>
      <c r="H23" s="7" t="s">
        <v>12</v>
      </c>
      <c r="I23" s="7" t="s">
        <v>11</v>
      </c>
      <c r="J23" s="48" t="s">
        <v>40</v>
      </c>
      <c r="K23" s="48" t="s">
        <v>41</v>
      </c>
    </row>
    <row r="24" spans="1:11" x14ac:dyDescent="0.3">
      <c r="A24" s="4">
        <v>1</v>
      </c>
      <c r="B24" s="4">
        <v>1</v>
      </c>
      <c r="C24" s="4" t="s">
        <v>36</v>
      </c>
      <c r="D24" s="33" t="s">
        <v>37</v>
      </c>
      <c r="E24" s="33"/>
      <c r="F24" s="33"/>
      <c r="G24" s="33"/>
      <c r="H24" s="46">
        <v>26.46</v>
      </c>
      <c r="I24" s="9">
        <f t="shared" ref="I24:I33" si="0">SUM(B24*H24)</f>
        <v>26.46</v>
      </c>
      <c r="J24" s="9" t="s">
        <v>42</v>
      </c>
      <c r="K24" s="9" t="s">
        <v>43</v>
      </c>
    </row>
    <row r="25" spans="1:11" x14ac:dyDescent="0.3">
      <c r="A25" s="4">
        <v>2</v>
      </c>
      <c r="B25" s="4">
        <v>10</v>
      </c>
      <c r="C25" s="4" t="s">
        <v>38</v>
      </c>
      <c r="D25" s="33" t="s">
        <v>39</v>
      </c>
      <c r="E25" s="33"/>
      <c r="F25" s="33"/>
      <c r="G25" s="33"/>
      <c r="H25" s="4">
        <v>7.23</v>
      </c>
      <c r="I25" s="9">
        <f t="shared" si="0"/>
        <v>72.300000000000011</v>
      </c>
      <c r="J25" s="9" t="s">
        <v>44</v>
      </c>
      <c r="K25" s="9" t="s">
        <v>45</v>
      </c>
    </row>
    <row r="26" spans="1:11" x14ac:dyDescent="0.3">
      <c r="A26" s="4">
        <v>3</v>
      </c>
      <c r="B26" s="4">
        <v>10</v>
      </c>
      <c r="C26" s="4" t="s">
        <v>46</v>
      </c>
      <c r="D26" s="33" t="s">
        <v>39</v>
      </c>
      <c r="E26" s="33"/>
      <c r="F26" s="33"/>
      <c r="G26" s="33"/>
      <c r="H26" s="4">
        <v>7.23</v>
      </c>
      <c r="I26" s="9">
        <f t="shared" si="0"/>
        <v>72.300000000000011</v>
      </c>
      <c r="J26" s="9" t="s">
        <v>44</v>
      </c>
      <c r="K26" s="9" t="s">
        <v>47</v>
      </c>
    </row>
    <row r="27" spans="1:11" x14ac:dyDescent="0.3">
      <c r="A27" s="4">
        <v>4</v>
      </c>
      <c r="B27" s="4">
        <v>10</v>
      </c>
      <c r="C27" s="47" t="s">
        <v>48</v>
      </c>
      <c r="D27" s="33" t="s">
        <v>39</v>
      </c>
      <c r="E27" s="33"/>
      <c r="F27" s="33"/>
      <c r="G27" s="33"/>
      <c r="H27" s="4">
        <v>7.23</v>
      </c>
      <c r="I27" s="9">
        <f t="shared" si="0"/>
        <v>72.300000000000011</v>
      </c>
      <c r="J27" s="9" t="s">
        <v>44</v>
      </c>
      <c r="K27" s="9" t="s">
        <v>49</v>
      </c>
    </row>
    <row r="28" spans="1:11" x14ac:dyDescent="0.3">
      <c r="A28" s="4">
        <v>5</v>
      </c>
      <c r="B28" s="4">
        <v>60</v>
      </c>
      <c r="C28" s="4" t="s">
        <v>50</v>
      </c>
      <c r="D28" s="33" t="s">
        <v>51</v>
      </c>
      <c r="E28" s="33"/>
      <c r="F28" s="33"/>
      <c r="G28" s="33"/>
      <c r="H28" s="4">
        <v>2.7E-2</v>
      </c>
      <c r="I28" s="9">
        <f t="shared" si="0"/>
        <v>1.6199999999999999</v>
      </c>
      <c r="J28" s="9" t="s">
        <v>44</v>
      </c>
      <c r="K28" s="9" t="s">
        <v>52</v>
      </c>
    </row>
    <row r="29" spans="1:11" x14ac:dyDescent="0.3">
      <c r="A29" s="4">
        <v>6</v>
      </c>
      <c r="B29" s="4">
        <v>60</v>
      </c>
      <c r="C29" s="47" t="s">
        <v>53</v>
      </c>
      <c r="D29" s="33" t="s">
        <v>54</v>
      </c>
      <c r="E29" s="33"/>
      <c r="F29" s="33"/>
      <c r="G29" s="33"/>
      <c r="H29" s="4">
        <v>7.3999999999999996E-2</v>
      </c>
      <c r="I29" s="9">
        <f t="shared" si="0"/>
        <v>4.4399999999999995</v>
      </c>
      <c r="J29" s="9" t="s">
        <v>44</v>
      </c>
      <c r="K29" s="9" t="s">
        <v>55</v>
      </c>
    </row>
    <row r="30" spans="1:11" x14ac:dyDescent="0.3">
      <c r="A30" s="4">
        <v>7</v>
      </c>
      <c r="B30" s="4">
        <v>10</v>
      </c>
      <c r="C30" s="47" t="s">
        <v>57</v>
      </c>
      <c r="D30" s="24" t="s">
        <v>58</v>
      </c>
      <c r="E30" s="25"/>
      <c r="F30" s="25"/>
      <c r="G30" s="26"/>
      <c r="H30" s="4">
        <v>0.13700000000000001</v>
      </c>
      <c r="I30" s="9">
        <f t="shared" si="0"/>
        <v>1.37</v>
      </c>
      <c r="J30" s="9" t="s">
        <v>44</v>
      </c>
      <c r="K30" s="9" t="s">
        <v>56</v>
      </c>
    </row>
    <row r="31" spans="1:11" x14ac:dyDescent="0.3">
      <c r="A31" s="4">
        <v>8</v>
      </c>
      <c r="B31" s="4">
        <v>10</v>
      </c>
      <c r="C31" s="47" t="s">
        <v>59</v>
      </c>
      <c r="D31" s="24" t="s">
        <v>60</v>
      </c>
      <c r="E31" s="25"/>
      <c r="F31" s="25"/>
      <c r="G31" s="26"/>
      <c r="H31" s="4">
        <v>0.107</v>
      </c>
      <c r="I31" s="9">
        <f t="shared" si="0"/>
        <v>1.07</v>
      </c>
      <c r="J31" s="9" t="s">
        <v>44</v>
      </c>
      <c r="K31" s="9" t="s">
        <v>61</v>
      </c>
    </row>
    <row r="32" spans="1:11" x14ac:dyDescent="0.3">
      <c r="A32" s="4">
        <v>9</v>
      </c>
      <c r="B32" s="4">
        <v>80</v>
      </c>
      <c r="C32" s="47" t="s">
        <v>62</v>
      </c>
      <c r="D32" s="24" t="s">
        <v>63</v>
      </c>
      <c r="E32" s="25"/>
      <c r="F32" s="25"/>
      <c r="G32" s="26"/>
      <c r="H32" s="4">
        <v>1.4999999999999999E-2</v>
      </c>
      <c r="I32" s="9">
        <f t="shared" si="0"/>
        <v>1.2</v>
      </c>
      <c r="J32" s="9" t="s">
        <v>44</v>
      </c>
      <c r="K32" s="9" t="s">
        <v>64</v>
      </c>
    </row>
    <row r="33" spans="1:11" x14ac:dyDescent="0.3">
      <c r="A33" s="4">
        <v>10</v>
      </c>
      <c r="B33" s="4">
        <v>60</v>
      </c>
      <c r="C33" s="47" t="s">
        <v>65</v>
      </c>
      <c r="D33" s="24" t="s">
        <v>63</v>
      </c>
      <c r="E33" s="25"/>
      <c r="F33" s="25"/>
      <c r="G33" s="26"/>
      <c r="H33" s="4">
        <v>4.7E-2</v>
      </c>
      <c r="I33" s="9">
        <f t="shared" si="0"/>
        <v>2.82</v>
      </c>
      <c r="J33" s="9" t="s">
        <v>44</v>
      </c>
      <c r="K33" s="9" t="s">
        <v>66</v>
      </c>
    </row>
    <row r="34" spans="1:11" x14ac:dyDescent="0.3">
      <c r="A34" s="2"/>
      <c r="B34" s="3"/>
      <c r="C34" s="3"/>
      <c r="D34" s="3"/>
      <c r="E34" s="3"/>
      <c r="F34" s="3"/>
      <c r="G34" s="3"/>
      <c r="H34" s="4" t="s">
        <v>13</v>
      </c>
      <c r="I34" s="9"/>
    </row>
    <row r="35" spans="1:11" x14ac:dyDescent="0.3">
      <c r="A35" s="2"/>
      <c r="B35" s="3"/>
      <c r="C35" s="3"/>
      <c r="D35" s="3"/>
      <c r="E35" s="3"/>
      <c r="F35" s="3"/>
      <c r="G35" s="3"/>
      <c r="H35" s="4" t="s">
        <v>14</v>
      </c>
      <c r="I35" s="23">
        <f>SUM(I24:I33)+I34</f>
        <v>255.88000000000002</v>
      </c>
    </row>
    <row r="36" spans="1:11" x14ac:dyDescent="0.3">
      <c r="A36" s="2"/>
      <c r="B36" s="3"/>
      <c r="C36" s="3"/>
      <c r="D36" s="3"/>
      <c r="E36" s="3"/>
      <c r="F36" s="3"/>
      <c r="G36" s="8"/>
      <c r="H36" s="4" t="s">
        <v>26</v>
      </c>
      <c r="I36" s="23">
        <f>I35*G44</f>
        <v>51.176000000000009</v>
      </c>
      <c r="J36" s="1"/>
    </row>
    <row r="37" spans="1:11" x14ac:dyDescent="0.3">
      <c r="A37" s="2"/>
      <c r="B37" s="3"/>
      <c r="C37" s="3"/>
      <c r="D37" s="3"/>
      <c r="E37" s="3"/>
      <c r="F37" s="3"/>
      <c r="G37" s="3"/>
      <c r="H37" s="4" t="s">
        <v>15</v>
      </c>
      <c r="I37" s="23">
        <f>SUM(I35:I36)</f>
        <v>307.05600000000004</v>
      </c>
    </row>
    <row r="38" spans="1:11" x14ac:dyDescent="0.3">
      <c r="A38" s="2"/>
      <c r="B38" s="3"/>
      <c r="C38" s="3"/>
      <c r="D38" s="3"/>
      <c r="E38" s="3"/>
      <c r="F38" s="3"/>
      <c r="G38" s="3"/>
      <c r="H38" s="3"/>
      <c r="I38" s="20"/>
    </row>
    <row r="39" spans="1:11" x14ac:dyDescent="0.3">
      <c r="A39" s="2"/>
      <c r="B39" s="3"/>
      <c r="C39" s="3"/>
      <c r="D39" s="3"/>
      <c r="E39" s="3"/>
      <c r="F39" s="3"/>
      <c r="G39" s="3"/>
      <c r="H39" s="3"/>
      <c r="I39" s="20"/>
    </row>
    <row r="40" spans="1:11" x14ac:dyDescent="0.3">
      <c r="A40" s="38" t="s">
        <v>25</v>
      </c>
      <c r="B40" s="39"/>
      <c r="C40" s="39"/>
      <c r="D40" s="39"/>
      <c r="E40" s="39"/>
      <c r="F40" s="39"/>
      <c r="G40" s="39"/>
      <c r="H40" s="40"/>
      <c r="I40" s="20"/>
    </row>
    <row r="41" spans="1:11" ht="27" customHeight="1" x14ac:dyDescent="0.3">
      <c r="A41" s="33" t="s">
        <v>33</v>
      </c>
      <c r="B41" s="33"/>
      <c r="C41" s="37" t="s">
        <v>35</v>
      </c>
      <c r="D41" s="37"/>
      <c r="E41" s="37"/>
      <c r="F41" s="37"/>
      <c r="G41" s="37"/>
      <c r="H41" s="37"/>
      <c r="I41" s="20"/>
    </row>
    <row r="42" spans="1:11" ht="63" customHeight="1" x14ac:dyDescent="0.3">
      <c r="A42" s="33" t="s">
        <v>34</v>
      </c>
      <c r="B42" s="33"/>
      <c r="C42" s="37" t="s">
        <v>31</v>
      </c>
      <c r="D42" s="37"/>
      <c r="E42" s="37"/>
      <c r="F42" s="37"/>
      <c r="G42" s="37"/>
      <c r="H42" s="37"/>
      <c r="I42" s="20"/>
    </row>
    <row r="43" spans="1:11" ht="30" customHeight="1" x14ac:dyDescent="0.3">
      <c r="A43" s="33" t="s">
        <v>24</v>
      </c>
      <c r="B43" s="33"/>
      <c r="C43" s="37" t="s">
        <v>32</v>
      </c>
      <c r="D43" s="37"/>
      <c r="E43" s="37"/>
      <c r="F43" s="37"/>
      <c r="G43" s="37"/>
      <c r="H43" s="37"/>
      <c r="I43" s="22"/>
    </row>
    <row r="44" spans="1:11" hidden="1" x14ac:dyDescent="0.3">
      <c r="A44" s="2"/>
      <c r="B44" s="3"/>
      <c r="C44" s="3"/>
      <c r="D44" s="3"/>
      <c r="E44" s="3"/>
      <c r="F44" s="3"/>
      <c r="G44" s="8">
        <v>0.2</v>
      </c>
      <c r="H44" s="3"/>
      <c r="I44" s="3"/>
    </row>
    <row r="45" spans="1:11" x14ac:dyDescent="0.3">
      <c r="I45" s="3"/>
    </row>
    <row r="46" spans="1:11" x14ac:dyDescent="0.3">
      <c r="I46" s="3"/>
    </row>
    <row r="47" spans="1:11" x14ac:dyDescent="0.3">
      <c r="I47" s="3"/>
    </row>
    <row r="48" spans="1:11" x14ac:dyDescent="0.3">
      <c r="I48" s="3"/>
    </row>
  </sheetData>
  <mergeCells count="38">
    <mergeCell ref="D28:G28"/>
    <mergeCell ref="D29:G29"/>
    <mergeCell ref="B16:D16"/>
    <mergeCell ref="D23:G23"/>
    <mergeCell ref="D24:G24"/>
    <mergeCell ref="D25:G25"/>
    <mergeCell ref="A21:I21"/>
    <mergeCell ref="D27:G27"/>
    <mergeCell ref="B17:D17"/>
    <mergeCell ref="F16:G16"/>
    <mergeCell ref="C41:H41"/>
    <mergeCell ref="C42:H42"/>
    <mergeCell ref="C43:H43"/>
    <mergeCell ref="A40:H40"/>
    <mergeCell ref="A41:B41"/>
    <mergeCell ref="A42:B42"/>
    <mergeCell ref="A43:B43"/>
    <mergeCell ref="A2:I2"/>
    <mergeCell ref="B6:C6"/>
    <mergeCell ref="F5:G5"/>
    <mergeCell ref="F6:G6"/>
    <mergeCell ref="H6:I6"/>
    <mergeCell ref="D31:G31"/>
    <mergeCell ref="D32:G32"/>
    <mergeCell ref="D33:G33"/>
    <mergeCell ref="B8:C8"/>
    <mergeCell ref="B10:C10"/>
    <mergeCell ref="B12:D12"/>
    <mergeCell ref="B13:D13"/>
    <mergeCell ref="B14:D14"/>
    <mergeCell ref="B15:D15"/>
    <mergeCell ref="G10:I10"/>
    <mergeCell ref="H13:I13"/>
    <mergeCell ref="H14:I14"/>
    <mergeCell ref="H15:I15"/>
    <mergeCell ref="H16:I16"/>
    <mergeCell ref="D30:G30"/>
    <mergeCell ref="D26:G26"/>
  </mergeCells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Garlick</dc:creator>
  <cp:lastModifiedBy>Peter Eriksson</cp:lastModifiedBy>
  <cp:lastPrinted>2021-12-02T10:48:00Z</cp:lastPrinted>
  <dcterms:created xsi:type="dcterms:W3CDTF">2017-07-11T15:04:59Z</dcterms:created>
  <dcterms:modified xsi:type="dcterms:W3CDTF">2026-06-29T11:15:41Z</dcterms:modified>
</cp:coreProperties>
</file>